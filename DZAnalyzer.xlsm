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filterPrivacy="1" codeName="ThisWorkbook"/>
  <bookViews>
    <workbookView xWindow="0" yWindow="0" windowWidth="22260" windowHeight="12645" xr2:uid="{00000000-000D-0000-FFFF-FFFF00000000}"/>
  </bookViews>
  <sheets>
    <sheet name="Instructions" sheetId="1" r:id="rId1"/>
    <sheet name="Field" sheetId="2" r:id="rId2"/>
  </sheet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2" i="2" l="1"/>
  <c r="E62" i="2"/>
  <c r="B63" i="2"/>
  <c r="E63" i="2"/>
  <c r="B64" i="2"/>
  <c r="E64" i="2"/>
  <c r="B65" i="2"/>
  <c r="E65" i="2"/>
  <c r="B66" i="2"/>
  <c r="E66" i="2"/>
  <c r="B67" i="2"/>
  <c r="E67" i="2"/>
  <c r="B68" i="2"/>
  <c r="E68" i="2"/>
  <c r="B69" i="2"/>
  <c r="E69" i="2"/>
  <c r="B70" i="2"/>
  <c r="E70" i="2"/>
  <c r="B71" i="2"/>
  <c r="E71" i="2"/>
  <c r="B72" i="2"/>
  <c r="E72" i="2"/>
  <c r="B73" i="2"/>
  <c r="E73" i="2"/>
  <c r="B74" i="2"/>
  <c r="E74" i="2"/>
  <c r="B75" i="2"/>
  <c r="E75" i="2"/>
  <c r="B76" i="2"/>
  <c r="E76" i="2"/>
  <c r="E61" i="2"/>
  <c r="B61" i="2"/>
  <c r="B55" i="2"/>
  <c r="B56" i="2"/>
  <c r="B57" i="2"/>
  <c r="B58" i="2"/>
  <c r="B59" i="2"/>
  <c r="B52" i="2"/>
  <c r="B53" i="2"/>
  <c r="B54" i="2"/>
  <c r="B45" i="2"/>
  <c r="B46" i="2"/>
  <c r="B47" i="2"/>
  <c r="B48" i="2"/>
  <c r="B49" i="2"/>
  <c r="B50" i="2"/>
  <c r="B51" i="2"/>
  <c r="B44" i="2"/>
  <c r="B40" i="2"/>
  <c r="C39" i="2"/>
  <c r="B39" i="2"/>
  <c r="C36" i="2"/>
  <c r="B36" i="2"/>
  <c r="B32" i="2"/>
  <c r="C31" i="2"/>
  <c r="B31" i="2"/>
  <c r="J5" i="2"/>
  <c r="J6" i="2"/>
  <c r="B6" i="2"/>
  <c r="B5" i="2"/>
</calcChain>
</file>

<file path=xl/sharedStrings.xml><?xml version="1.0" encoding="utf-8"?>
<sst xmlns="http://schemas.openxmlformats.org/spreadsheetml/2006/main" count="88" uniqueCount="67">
  <si>
    <t>'Files &gt; Options &gt; Customize Ribbon &gt; Popular Commands option on left, check the Developer checkbox on right.</t>
  </si>
  <si>
    <t>'Select Tools &gt; References from the drop-down menu. A listbox of available references will be displayed. Tick the check-box next to 'Microsoft Scripting Runtime'</t>
  </si>
  <si>
    <t>'Search for syntax and VBA help with root search string of "excel 2013 vba module"</t>
  </si>
  <si>
    <t>Turn on the MS Scripting Runtime:</t>
  </si>
  <si>
    <t>While programming, search the web for help:</t>
  </si>
  <si>
    <t>This code works with MS Excel 2013, and Office 360.</t>
  </si>
  <si>
    <t>To view, edit, and run the Visual Basic for Applications (VBA) source code:</t>
  </si>
  <si>
    <t>DataZ CSV File Analyzer</t>
  </si>
  <si>
    <t>Turn on the Developer menu to the ribbon.</t>
  </si>
  <si>
    <t xml:space="preserve">This program can be pointed to a folder, then will crawl the folder heirarchy to find all .csv files.  It will assume they are DataZ files, each holding one robot's position data for one match.   The program will analyze it for various potential robots behaviors and acheivements as possible defined for the Steamworks game, resulting in a single record added to a newly created intermediate csv file.  After all DataZ csv files are processed, the intermediate csv file itself will be read in, and futher processed to generate profiles for each robot based upon all its matches, as well overall statistics aggregated over all robots and matches.  The results are stored to a final csv file. </t>
  </si>
  <si>
    <t>Run the program:</t>
  </si>
  <si>
    <t>For developers:</t>
  </si>
  <si>
    <t>Do not change the Z-order of your windows, wait for excel to present an Ok Dialog saying "Processing Finished".</t>
  </si>
  <si>
    <t>Look at the file "DataZReport.txt" in the selected folder.</t>
  </si>
  <si>
    <t xml:space="preserve">Select and go into the folder that contains the CSV files or folders of files that are to be processed. </t>
  </si>
  <si>
    <t>To prepare excel to run macros, and then run:</t>
  </si>
  <si>
    <t>Purpose:</t>
  </si>
  <si>
    <t>Click the Select button.</t>
  </si>
  <si>
    <t>Developer &gt; Macros</t>
  </si>
  <si>
    <t>See Visual Basic and macros: Developer &gt; Visual Basic</t>
  </si>
  <si>
    <t>BLUE GEAR DISPENSERS</t>
  </si>
  <si>
    <t>RED GEAR DISPENSERS</t>
  </si>
  <si>
    <t>BLUE</t>
  </si>
  <si>
    <t>RED</t>
  </si>
  <si>
    <t>PEG</t>
  </si>
  <si>
    <t>ROPE</t>
  </si>
  <si>
    <t>BLUE BOILER</t>
  </si>
  <si>
    <t>RED BOILER</t>
  </si>
  <si>
    <t>PEG (44.47, 18.05)</t>
  </si>
  <si>
    <t>PEG, ROPE 
(47.41, 13.85)</t>
  </si>
  <si>
    <t>PEG (44.66, 9.18)</t>
  </si>
  <si>
    <t>PEG, ROPE
(6.24, 13.17)</t>
  </si>
  <si>
    <t xml:space="preserve">ROPE (38,6.5) </t>
  </si>
  <si>
    <t>ROPE (21, 18)</t>
  </si>
  <si>
    <t>PEG (8.6, 17.69) (10, 17)</t>
  </si>
  <si>
    <t>ROPE (38, 15.5) (38, 17.5?)</t>
  </si>
  <si>
    <t>(50.96, 25.12)</t>
  </si>
  <si>
    <t>ROPE (21, 9)</t>
  </si>
  <si>
    <t>X</t>
  </si>
  <si>
    <t>Y</t>
  </si>
  <si>
    <t>FIELD LAYOUT in (X, Y)</t>
  </si>
  <si>
    <t xml:space="preserve">There is  a noticable lacking in symetry.  More measures and analysis are needed. </t>
  </si>
  <si>
    <t xml:space="preserve">Figures in 2 decimals are measures from csv's.  Less than 2 decimals is educated guesses.  </t>
  </si>
  <si>
    <t>Check</t>
  </si>
  <si>
    <t>Field Element</t>
  </si>
  <si>
    <t>Red Upper</t>
  </si>
  <si>
    <t>Red Middle</t>
  </si>
  <si>
    <t>Red Lower</t>
  </si>
  <si>
    <t xml:space="preserve">Blue Upper </t>
  </si>
  <si>
    <t>Blue Middle</t>
  </si>
  <si>
    <t>Blue Lower</t>
  </si>
  <si>
    <t>GearDispenser2Red</t>
  </si>
  <si>
    <t>GearDispenser1Red</t>
  </si>
  <si>
    <t>GearDispenser1Blue</t>
  </si>
  <si>
    <t>GearDispenser2Blue</t>
  </si>
  <si>
    <t>Peg1Red</t>
  </si>
  <si>
    <t>Rope1Red</t>
  </si>
  <si>
    <t>Peg2Red</t>
  </si>
  <si>
    <t>Peg3Red</t>
  </si>
  <si>
    <t>Peg1Blue</t>
  </si>
  <si>
    <t>Peg2Blue</t>
  </si>
  <si>
    <t>Peg3Blue</t>
  </si>
  <si>
    <t>Rope2Red</t>
  </si>
  <si>
    <t>Rope3Red</t>
  </si>
  <si>
    <t>Rope1Blue</t>
  </si>
  <si>
    <t>Rope2Blue</t>
  </si>
  <si>
    <t>Rope3Blue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</si>
</sst>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u/>
      <sz val="14"/>
      <color theme="1"/>
      <name val="Calibri"/>
      <family val="2"/>
      <scheme val="minor"/>
    </font>
    <font>
      <b/>
      <sz val="14"/>
      <color theme="1"/>
      <name val="Calibri"/>
      <family val="2"/>
      <scheme val="minor"/>
    </font>
    <font>
      <b/>
      <i/>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color rgb="FF0070C0"/>
      <name val="Calibri"/>
      <family val="2"/>
      <scheme val="minor"/>
    </font>
    <font>
      <b/>
      <sz val="11"/>
      <color rgb="FF0070C0"/>
      <name val="Calibri"/>
      <family val="2"/>
      <scheme val="minor"/>
    </font>
  </fonts>
  <fills count="2">
    <fill>
      <patternFill patternType="none"/>
    </fill>
    <fill>
      <patternFill patternType="gray125"/>
    </fill>
  </fills>
  <borders count="2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s>
  <cellStyleXfs count="1">
    <xf numFmtId="0" fontId="0" fillId="0" borderId="0"/>
  </cellStyleXfs>
  <cellXfs count="49">
    <xf numFmtId="0" fontId="0" fillId="0" borderId="0" xfId="0"/>
    <xf numFmtId="0" fontId="0" fillId="0" borderId="0" xfId="0" applyAlignment="1">
      <alignment vertical="top" wrapText="1"/>
    </xf>
    <xf numFmtId="0" fontId="1" fillId="0" borderId="0" xfId="0" applyFont="1" applyAlignment="1">
      <alignment vertical="top" wrapText="1"/>
    </xf>
    <xf numFmtId="0" fontId="0" fillId="0" borderId="0" xfId="0" applyAlignment="1">
      <alignment horizontal="left" vertical="top" wrapText="1"/>
    </xf>
    <xf numFmtId="0" fontId="2" fillId="0" borderId="0" xfId="0" applyFont="1" applyAlignment="1">
      <alignment vertical="top" wrapText="1"/>
    </xf>
    <xf numFmtId="0" fontId="3" fillId="0" borderId="0" xfId="0" applyFont="1" applyAlignment="1">
      <alignment vertical="top" wrapText="1"/>
    </xf>
    <xf numFmtId="0" fontId="5" fillId="0" borderId="0" xfId="0" applyFont="1"/>
    <xf numFmtId="0" fontId="0" fillId="0" borderId="9" xfId="0" applyBorder="1"/>
    <xf numFmtId="0" fontId="0" fillId="0" borderId="11" xfId="0" applyBorder="1"/>
    <xf numFmtId="0" fontId="7" fillId="0" borderId="2" xfId="0" applyFont="1" applyBorder="1" applyAlignment="1">
      <alignment vertical="center"/>
    </xf>
    <xf numFmtId="0" fontId="0" fillId="0" borderId="3" xfId="0" applyBorder="1" applyAlignment="1">
      <alignment vertical="center"/>
    </xf>
    <xf numFmtId="0" fontId="0" fillId="0" borderId="10" xfId="0" applyBorder="1" applyAlignment="1">
      <alignment vertical="center"/>
    </xf>
    <xf numFmtId="0" fontId="4" fillId="0" borderId="2" xfId="0" applyFont="1" applyBorder="1" applyAlignment="1">
      <alignment horizontal="right" vertical="center"/>
    </xf>
    <xf numFmtId="0" fontId="0" fillId="0" borderId="4" xfId="0" applyBorder="1" applyAlignment="1">
      <alignment vertical="center"/>
    </xf>
    <xf numFmtId="0" fontId="0" fillId="0" borderId="0" xfId="0" applyBorder="1" applyAlignment="1">
      <alignment vertical="center"/>
    </xf>
    <xf numFmtId="0" fontId="0" fillId="0" borderId="11" xfId="0" applyBorder="1" applyAlignment="1">
      <alignment vertical="center"/>
    </xf>
    <xf numFmtId="0" fontId="0" fillId="0" borderId="5" xfId="0" applyBorder="1" applyAlignment="1">
      <alignment vertical="center"/>
    </xf>
    <xf numFmtId="0" fontId="4" fillId="0" borderId="13" xfId="0" applyFont="1" applyBorder="1" applyAlignment="1">
      <alignment vertical="center"/>
    </xf>
    <xf numFmtId="0" fontId="4" fillId="0" borderId="16" xfId="0" applyFont="1" applyBorder="1" applyAlignment="1">
      <alignment vertical="center"/>
    </xf>
    <xf numFmtId="0" fontId="0" fillId="0" borderId="0" xfId="0" applyFont="1" applyBorder="1" applyAlignment="1">
      <alignment vertical="center"/>
    </xf>
    <xf numFmtId="0" fontId="7" fillId="0" borderId="13" xfId="0" applyFont="1" applyBorder="1" applyAlignment="1">
      <alignment vertical="center"/>
    </xf>
    <xf numFmtId="0" fontId="7" fillId="0" borderId="16" xfId="0" applyFont="1" applyBorder="1" applyAlignment="1">
      <alignment vertical="center"/>
    </xf>
    <xf numFmtId="0" fontId="4" fillId="0" borderId="14" xfId="0" applyFont="1" applyBorder="1" applyAlignment="1">
      <alignment vertical="center" wrapText="1"/>
    </xf>
    <xf numFmtId="0" fontId="6" fillId="0" borderId="1" xfId="0" applyFont="1" applyBorder="1" applyAlignment="1">
      <alignment vertical="center"/>
    </xf>
    <xf numFmtId="0" fontId="4" fillId="0" borderId="15" xfId="0" applyFont="1" applyBorder="1" applyAlignment="1">
      <alignment vertical="center"/>
    </xf>
    <xf numFmtId="0" fontId="7" fillId="0" borderId="14" xfId="0" applyFont="1" applyBorder="1" applyAlignment="1">
      <alignment vertical="center"/>
    </xf>
    <xf numFmtId="0" fontId="8" fillId="0" borderId="1" xfId="0" applyFont="1" applyBorder="1" applyAlignment="1">
      <alignment vertical="center"/>
    </xf>
    <xf numFmtId="0" fontId="7" fillId="0" borderId="15" xfId="0" applyFont="1" applyBorder="1" applyAlignment="1">
      <alignment vertical="center" wrapText="1"/>
    </xf>
    <xf numFmtId="0" fontId="4" fillId="0" borderId="17" xfId="0" applyFont="1" applyBorder="1" applyAlignment="1">
      <alignment vertical="center"/>
    </xf>
    <xf numFmtId="0" fontId="7" fillId="0" borderId="17" xfId="0" applyFont="1" applyBorder="1" applyAlignment="1">
      <alignment vertical="center"/>
    </xf>
    <xf numFmtId="0" fontId="7" fillId="0" borderId="6" xfId="0" applyFont="1" applyBorder="1" applyAlignment="1">
      <alignment vertical="center"/>
    </xf>
    <xf numFmtId="0" fontId="0" fillId="0" borderId="7" xfId="0" applyBorder="1" applyAlignment="1">
      <alignment vertical="center"/>
    </xf>
    <xf numFmtId="0" fontId="0" fillId="0" borderId="12" xfId="0" applyBorder="1" applyAlignment="1">
      <alignment vertical="center"/>
    </xf>
    <xf numFmtId="0" fontId="4" fillId="0" borderId="8" xfId="0" applyFont="1" applyBorder="1" applyAlignment="1">
      <alignment horizontal="right" vertical="center"/>
    </xf>
    <xf numFmtId="0" fontId="7" fillId="0" borderId="4" xfId="0" applyFont="1" applyBorder="1" applyAlignment="1">
      <alignment vertical="center"/>
    </xf>
    <xf numFmtId="0" fontId="7" fillId="0" borderId="13" xfId="0" applyFont="1" applyBorder="1" applyAlignment="1">
      <alignment vertical="center" wrapText="1"/>
    </xf>
    <xf numFmtId="0" fontId="0" fillId="0" borderId="0" xfId="0" applyAlignment="1">
      <alignment horizontal="center" vertical="center"/>
    </xf>
    <xf numFmtId="0" fontId="0" fillId="0" borderId="0" xfId="0" applyAlignment="1">
      <alignment horizontal="right" vertical="center"/>
    </xf>
    <xf numFmtId="0" fontId="4" fillId="0" borderId="4" xfId="0" applyFont="1" applyBorder="1" applyAlignment="1">
      <alignment horizontal="right" vertical="center"/>
    </xf>
    <xf numFmtId="0" fontId="0" fillId="0" borderId="13" xfId="0" applyBorder="1" applyAlignment="1"/>
    <xf numFmtId="0" fontId="0" fillId="0" borderId="11" xfId="0" applyFill="1" applyBorder="1"/>
    <xf numFmtId="0" fontId="0" fillId="0" borderId="16" xfId="0" applyFill="1" applyBorder="1"/>
    <xf numFmtId="0" fontId="0" fillId="0" borderId="18" xfId="0" applyBorder="1"/>
    <xf numFmtId="0" fontId="0" fillId="0" borderId="17" xfId="0" applyFill="1" applyBorder="1"/>
    <xf numFmtId="0" fontId="0" fillId="0" borderId="9" xfId="0" applyFill="1" applyBorder="1"/>
    <xf numFmtId="0" fontId="0" fillId="0" borderId="17" xfId="0" applyBorder="1"/>
    <xf numFmtId="0" fontId="0" fillId="0" borderId="16" xfId="0" applyBorder="1"/>
    <xf numFmtId="0" fontId="0" fillId="0" borderId="16" xfId="0" applyBorder="1" applyAlignment="1">
      <alignment horizontal="center"/>
    </xf>
    <xf numFmtId="0" fontId="0" fillId="0" borderId="19"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Field!$C$24</c:f>
              <c:strCache>
                <c:ptCount val="1"/>
                <c:pt idx="0">
                  <c:v>Y</c:v>
                </c:pt>
              </c:strCache>
            </c:strRef>
          </c:tx>
          <c:spPr>
            <a:ln w="19050" cap="rnd">
              <a:noFill/>
              <a:round/>
            </a:ln>
            <a:effectLst/>
          </c:spPr>
          <c:marker>
            <c:symbol val="circle"/>
            <c:size val="5"/>
            <c:spPr>
              <a:solidFill>
                <a:schemeClr val="accent1"/>
              </a:solidFill>
              <a:ln w="9525">
                <a:solidFill>
                  <a:schemeClr val="accent1"/>
                </a:solidFill>
              </a:ln>
              <a:effectLst/>
            </c:spPr>
          </c:marker>
          <c:xVal>
            <c:numRef>
              <c:f>Field!$B$25:$B$40</c:f>
              <c:numCache>
                <c:formatCode>General</c:formatCode>
                <c:ptCount val="16"/>
                <c:pt idx="0">
                  <c:v>0.57999999999999996</c:v>
                </c:pt>
                <c:pt idx="1">
                  <c:v>3.66</c:v>
                </c:pt>
                <c:pt idx="2">
                  <c:v>50.98</c:v>
                </c:pt>
                <c:pt idx="3">
                  <c:v>52.74</c:v>
                </c:pt>
                <c:pt idx="4">
                  <c:v>8.6</c:v>
                </c:pt>
                <c:pt idx="5">
                  <c:v>6.24</c:v>
                </c:pt>
                <c:pt idx="6">
                  <c:v>8.6</c:v>
                </c:pt>
                <c:pt idx="7">
                  <c:v>44.47</c:v>
                </c:pt>
                <c:pt idx="8">
                  <c:v>47.41</c:v>
                </c:pt>
                <c:pt idx="9">
                  <c:v>44.66</c:v>
                </c:pt>
                <c:pt idx="10">
                  <c:v>21</c:v>
                </c:pt>
                <c:pt idx="11">
                  <c:v>6.24</c:v>
                </c:pt>
                <c:pt idx="12">
                  <c:v>21</c:v>
                </c:pt>
                <c:pt idx="13">
                  <c:v>38</c:v>
                </c:pt>
                <c:pt idx="14">
                  <c:v>47.41</c:v>
                </c:pt>
                <c:pt idx="15">
                  <c:v>38</c:v>
                </c:pt>
              </c:numCache>
            </c:numRef>
          </c:xVal>
          <c:yVal>
            <c:numRef>
              <c:f>Field!$C$25:$C$40</c:f>
              <c:numCache>
                <c:formatCode>General</c:formatCode>
                <c:ptCount val="16"/>
                <c:pt idx="0">
                  <c:v>24.68</c:v>
                </c:pt>
                <c:pt idx="1">
                  <c:v>26.58</c:v>
                </c:pt>
                <c:pt idx="2">
                  <c:v>26.67</c:v>
                </c:pt>
                <c:pt idx="3">
                  <c:v>22.99</c:v>
                </c:pt>
                <c:pt idx="4">
                  <c:v>17.690000000000001</c:v>
                </c:pt>
                <c:pt idx="5">
                  <c:v>13.17</c:v>
                </c:pt>
                <c:pt idx="6">
                  <c:v>8.6499999999999986</c:v>
                </c:pt>
                <c:pt idx="7">
                  <c:v>18.05</c:v>
                </c:pt>
                <c:pt idx="8">
                  <c:v>13.85</c:v>
                </c:pt>
                <c:pt idx="9">
                  <c:v>9.18</c:v>
                </c:pt>
                <c:pt idx="10">
                  <c:v>18</c:v>
                </c:pt>
                <c:pt idx="11">
                  <c:v>13.17</c:v>
                </c:pt>
                <c:pt idx="12">
                  <c:v>9</c:v>
                </c:pt>
                <c:pt idx="13">
                  <c:v>15.5</c:v>
                </c:pt>
                <c:pt idx="14">
                  <c:v>13.85</c:v>
                </c:pt>
                <c:pt idx="15">
                  <c:v>6.5</c:v>
                </c:pt>
              </c:numCache>
            </c:numRef>
          </c:yVal>
          <c:smooth val="0"/>
          <c:extLst>
            <c:ext xmlns:c16="http://schemas.microsoft.com/office/drawing/2014/chart" uri="{C3380CC4-5D6E-409C-BE32-E72D297353CC}">
              <c16:uniqueId val="{00000000-961D-4D8A-B1C0-8779882F8E91}"/>
            </c:ext>
          </c:extLst>
        </c:ser>
        <c:dLbls>
          <c:showLegendKey val="0"/>
          <c:showVal val="0"/>
          <c:showCatName val="0"/>
          <c:showSerName val="0"/>
          <c:showPercent val="0"/>
          <c:showBubbleSize val="0"/>
        </c:dLbls>
        <c:axId val="710599376"/>
        <c:axId val="710600360"/>
      </c:scatterChart>
      <c:valAx>
        <c:axId val="7105993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600360"/>
        <c:crosses val="autoZero"/>
        <c:crossBetween val="midCat"/>
      </c:valAx>
      <c:valAx>
        <c:axId val="710600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5993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371475</xdr:colOff>
      <xdr:row>23</xdr:row>
      <xdr:rowOff>42862</xdr:rowOff>
    </xdr:from>
    <xdr:to>
      <xdr:col>15</xdr:col>
      <xdr:colOff>123825</xdr:colOff>
      <xdr:row>37</xdr:row>
      <xdr:rowOff>119062</xdr:rowOff>
    </xdr:to>
    <xdr:graphicFrame macro="">
      <xdr:nvGraphicFramePr>
        <xdr:cNvPr id="2" name="Chart 1">
          <a:extLst>
            <a:ext uri="{FF2B5EF4-FFF2-40B4-BE49-F238E27FC236}">
              <a16:creationId xmlns:a16="http://schemas.microsoft.com/office/drawing/2014/main" id="{86255D15-0F14-4C26-A55A-5DD6C997E6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30"/>
  <sheetViews>
    <sheetView tabSelected="1" workbookViewId="0"/>
  </sheetViews>
  <sheetFormatPr defaultRowHeight="15" x14ac:dyDescent="0.25"/>
  <cols>
    <col min="1" max="1" width="79.140625" style="1" customWidth="1"/>
  </cols>
  <sheetData>
    <row r="2" spans="1:1" ht="18.75" x14ac:dyDescent="0.25">
      <c r="A2" s="2" t="s">
        <v>7</v>
      </c>
    </row>
    <row r="4" spans="1:1" ht="18.75" x14ac:dyDescent="0.25">
      <c r="A4" s="4" t="s">
        <v>16</v>
      </c>
    </row>
    <row r="5" spans="1:1" ht="120" x14ac:dyDescent="0.25">
      <c r="A5" s="1" t="s">
        <v>9</v>
      </c>
    </row>
    <row r="6" spans="1:1" x14ac:dyDescent="0.25">
      <c r="A6" s="1" t="s">
        <v>5</v>
      </c>
    </row>
    <row r="9" spans="1:1" ht="18.75" x14ac:dyDescent="0.25">
      <c r="A9" s="4" t="s">
        <v>15</v>
      </c>
    </row>
    <row r="11" spans="1:1" x14ac:dyDescent="0.25">
      <c r="A11" s="5" t="s">
        <v>8</v>
      </c>
    </row>
    <row r="12" spans="1:1" ht="30" x14ac:dyDescent="0.25">
      <c r="A12" s="3" t="s">
        <v>0</v>
      </c>
    </row>
    <row r="14" spans="1:1" x14ac:dyDescent="0.25">
      <c r="A14" s="5" t="s">
        <v>3</v>
      </c>
    </row>
    <row r="15" spans="1:1" ht="30" x14ac:dyDescent="0.25">
      <c r="A15" s="3" t="s">
        <v>1</v>
      </c>
    </row>
    <row r="17" spans="1:1" x14ac:dyDescent="0.25">
      <c r="A17" s="5" t="s">
        <v>10</v>
      </c>
    </row>
    <row r="18" spans="1:1" x14ac:dyDescent="0.25">
      <c r="A18" s="1" t="s">
        <v>18</v>
      </c>
    </row>
    <row r="19" spans="1:1" ht="30" x14ac:dyDescent="0.25">
      <c r="A19" s="1" t="s">
        <v>14</v>
      </c>
    </row>
    <row r="20" spans="1:1" x14ac:dyDescent="0.25">
      <c r="A20" s="1" t="s">
        <v>17</v>
      </c>
    </row>
    <row r="21" spans="1:1" ht="30" x14ac:dyDescent="0.25">
      <c r="A21" s="1" t="s">
        <v>12</v>
      </c>
    </row>
    <row r="22" spans="1:1" x14ac:dyDescent="0.25">
      <c r="A22" s="1" t="s">
        <v>13</v>
      </c>
    </row>
    <row r="24" spans="1:1" ht="18.75" x14ac:dyDescent="0.25">
      <c r="A24" s="4" t="s">
        <v>11</v>
      </c>
    </row>
    <row r="26" spans="1:1" x14ac:dyDescent="0.25">
      <c r="A26" s="5" t="s">
        <v>6</v>
      </c>
    </row>
    <row r="27" spans="1:1" x14ac:dyDescent="0.25">
      <c r="A27" s="3" t="s">
        <v>19</v>
      </c>
    </row>
    <row r="29" spans="1:1" x14ac:dyDescent="0.25">
      <c r="A29" s="5" t="s">
        <v>4</v>
      </c>
    </row>
    <row r="30" spans="1:1" x14ac:dyDescent="0.25">
      <c r="A30" s="3" t="s">
        <v>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ED6BA-D938-4472-B8C0-6E2C807960D9}">
  <sheetPr codeName="Sheet2"/>
  <dimension ref="A2:L76"/>
  <sheetViews>
    <sheetView workbookViewId="0"/>
  </sheetViews>
  <sheetFormatPr defaultRowHeight="15" x14ac:dyDescent="0.25"/>
  <cols>
    <col min="3" max="3" width="16" customWidth="1"/>
    <col min="5" max="5" width="15.140625" customWidth="1"/>
    <col min="6" max="6" width="11.7109375" bestFit="1" customWidth="1"/>
    <col min="7" max="7" width="19.28515625" bestFit="1" customWidth="1"/>
    <col min="9" max="9" width="17.42578125" customWidth="1"/>
  </cols>
  <sheetData>
    <row r="2" spans="1:12" x14ac:dyDescent="0.25">
      <c r="B2" t="s">
        <v>40</v>
      </c>
    </row>
    <row r="4" spans="1:12" ht="15.75" thickBot="1" x14ac:dyDescent="0.3">
      <c r="F4" s="36" t="s">
        <v>38</v>
      </c>
    </row>
    <row r="5" spans="1:12" x14ac:dyDescent="0.25">
      <c r="B5" s="9" t="str">
        <f>D25</f>
        <v>BLUE GEAR DISPENSERS</v>
      </c>
      <c r="C5" s="10"/>
      <c r="D5" s="11"/>
      <c r="E5" s="10"/>
      <c r="F5" s="10"/>
      <c r="G5" s="10"/>
      <c r="H5" s="11"/>
      <c r="I5" s="10"/>
      <c r="J5" s="12" t="str">
        <f>D27</f>
        <v>RED GEAR DISPENSERS</v>
      </c>
    </row>
    <row r="6" spans="1:12" x14ac:dyDescent="0.25">
      <c r="B6" s="34" t="str">
        <f>_xlfn.CONCAT("(",B25,",",C25,"), (",B26,",",C26,")")</f>
        <v>(0.58,24.68), (3.66,26.58)</v>
      </c>
      <c r="C6" s="14"/>
      <c r="D6" s="15"/>
      <c r="E6" s="14"/>
      <c r="F6" s="14"/>
      <c r="G6" s="14"/>
      <c r="H6" s="15"/>
      <c r="I6" s="14"/>
      <c r="J6" s="38" t="str">
        <f>_xlfn.CONCAT("(",B27,",",C27,"), (",B28,",",C28,")")</f>
        <v>(50.98,26.67), (52.74,22.99)</v>
      </c>
      <c r="L6" t="s">
        <v>36</v>
      </c>
    </row>
    <row r="7" spans="1:12" x14ac:dyDescent="0.25">
      <c r="B7" s="13"/>
      <c r="C7" s="14"/>
      <c r="D7" s="15"/>
      <c r="E7" s="14"/>
      <c r="F7" s="14"/>
      <c r="G7" s="14"/>
      <c r="H7" s="15"/>
      <c r="I7" s="14"/>
      <c r="J7" s="16"/>
    </row>
    <row r="8" spans="1:12" x14ac:dyDescent="0.25">
      <c r="B8" s="13"/>
      <c r="C8" s="14"/>
      <c r="D8" s="15"/>
      <c r="E8" s="14"/>
      <c r="F8" s="14"/>
      <c r="G8" s="14"/>
      <c r="H8" s="15"/>
      <c r="I8" s="14"/>
      <c r="J8" s="16"/>
    </row>
    <row r="9" spans="1:12" x14ac:dyDescent="0.25">
      <c r="B9" s="13"/>
      <c r="C9" s="14"/>
      <c r="D9" s="15"/>
      <c r="E9" s="14"/>
      <c r="F9" s="14"/>
      <c r="G9" s="14"/>
      <c r="H9" s="15"/>
      <c r="I9" s="14"/>
      <c r="J9" s="16"/>
    </row>
    <row r="10" spans="1:12" ht="30.75" thickBot="1" x14ac:dyDescent="0.3">
      <c r="B10" s="13"/>
      <c r="C10" s="17" t="s">
        <v>34</v>
      </c>
      <c r="D10" s="18"/>
      <c r="E10" s="17" t="s">
        <v>33</v>
      </c>
      <c r="F10" s="19"/>
      <c r="G10" s="35" t="s">
        <v>35</v>
      </c>
      <c r="H10" s="21"/>
      <c r="I10" s="20" t="s">
        <v>28</v>
      </c>
      <c r="J10" s="16"/>
    </row>
    <row r="11" spans="1:12" ht="30.75" thickBot="1" x14ac:dyDescent="0.3">
      <c r="A11" s="37" t="s">
        <v>39</v>
      </c>
      <c r="B11" s="13"/>
      <c r="C11" s="22" t="s">
        <v>31</v>
      </c>
      <c r="D11" s="23" t="s">
        <v>23</v>
      </c>
      <c r="E11" s="24"/>
      <c r="F11" s="19"/>
      <c r="G11" s="25"/>
      <c r="H11" s="26" t="s">
        <v>22</v>
      </c>
      <c r="I11" s="27" t="s">
        <v>29</v>
      </c>
      <c r="J11" s="16"/>
    </row>
    <row r="12" spans="1:12" x14ac:dyDescent="0.25">
      <c r="B12" s="13"/>
      <c r="C12" s="17" t="s">
        <v>24</v>
      </c>
      <c r="D12" s="28"/>
      <c r="E12" s="17" t="s">
        <v>37</v>
      </c>
      <c r="F12" s="19"/>
      <c r="G12" s="35" t="s">
        <v>32</v>
      </c>
      <c r="H12" s="29"/>
      <c r="I12" s="20" t="s">
        <v>30</v>
      </c>
      <c r="J12" s="16"/>
    </row>
    <row r="13" spans="1:12" x14ac:dyDescent="0.25">
      <c r="B13" s="13"/>
      <c r="C13" s="14"/>
      <c r="D13" s="15"/>
      <c r="E13" s="14"/>
      <c r="F13" s="14"/>
      <c r="G13" s="14"/>
      <c r="H13" s="15"/>
      <c r="I13" s="14"/>
      <c r="J13" s="16"/>
    </row>
    <row r="14" spans="1:12" x14ac:dyDescent="0.25">
      <c r="B14" s="13"/>
      <c r="C14" s="14"/>
      <c r="D14" s="15"/>
      <c r="E14" s="14"/>
      <c r="F14" s="14"/>
      <c r="G14" s="14"/>
      <c r="H14" s="15"/>
      <c r="I14" s="14"/>
      <c r="J14" s="16"/>
    </row>
    <row r="15" spans="1:12" x14ac:dyDescent="0.25">
      <c r="B15" s="13"/>
      <c r="C15" s="14"/>
      <c r="D15" s="15"/>
      <c r="E15" s="14"/>
      <c r="F15" s="14"/>
      <c r="G15" s="14"/>
      <c r="H15" s="15"/>
      <c r="I15" s="14"/>
      <c r="J15" s="16"/>
    </row>
    <row r="16" spans="1:12" ht="15.75" thickBot="1" x14ac:dyDescent="0.3">
      <c r="B16" s="30" t="s">
        <v>26</v>
      </c>
      <c r="C16" s="31"/>
      <c r="D16" s="32"/>
      <c r="E16" s="31"/>
      <c r="F16" s="31"/>
      <c r="G16" s="31"/>
      <c r="H16" s="32"/>
      <c r="I16" s="31"/>
      <c r="J16" s="33" t="s">
        <v>27</v>
      </c>
    </row>
    <row r="19" spans="2:7" x14ac:dyDescent="0.25">
      <c r="B19" t="s">
        <v>42</v>
      </c>
    </row>
    <row r="20" spans="2:7" x14ac:dyDescent="0.25">
      <c r="B20" t="s">
        <v>41</v>
      </c>
    </row>
    <row r="22" spans="2:7" x14ac:dyDescent="0.25">
      <c r="B22" t="s">
        <v>43</v>
      </c>
      <c r="G22" s="6"/>
    </row>
    <row r="24" spans="2:7" x14ac:dyDescent="0.25">
      <c r="B24" s="47" t="s">
        <v>38</v>
      </c>
      <c r="C24" s="47" t="s">
        <v>39</v>
      </c>
      <c r="D24" s="39" t="s">
        <v>44</v>
      </c>
    </row>
    <row r="25" spans="2:7" x14ac:dyDescent="0.25">
      <c r="B25" s="48">
        <v>0.57999999999999996</v>
      </c>
      <c r="C25" s="48">
        <v>24.68</v>
      </c>
      <c r="D25" s="46" t="s">
        <v>20</v>
      </c>
      <c r="G25" t="s">
        <v>53</v>
      </c>
    </row>
    <row r="26" spans="2:7" x14ac:dyDescent="0.25">
      <c r="B26" s="42">
        <v>3.66</v>
      </c>
      <c r="C26" s="42">
        <v>26.58</v>
      </c>
      <c r="D26" s="45" t="s">
        <v>20</v>
      </c>
      <c r="G26" t="s">
        <v>54</v>
      </c>
    </row>
    <row r="27" spans="2:7" x14ac:dyDescent="0.25">
      <c r="B27" s="48">
        <v>50.98</v>
      </c>
      <c r="C27" s="48">
        <v>26.67</v>
      </c>
      <c r="D27" s="46" t="s">
        <v>21</v>
      </c>
      <c r="G27" t="s">
        <v>52</v>
      </c>
    </row>
    <row r="28" spans="2:7" x14ac:dyDescent="0.25">
      <c r="B28" s="42">
        <v>52.74</v>
      </c>
      <c r="C28" s="42">
        <v>22.99</v>
      </c>
      <c r="D28" s="45" t="s">
        <v>21</v>
      </c>
      <c r="G28" t="s">
        <v>51</v>
      </c>
    </row>
    <row r="29" spans="2:7" x14ac:dyDescent="0.25">
      <c r="B29" s="44">
        <v>8.6</v>
      </c>
      <c r="C29" s="40">
        <v>17.690000000000001</v>
      </c>
      <c r="D29" s="40" t="s">
        <v>24</v>
      </c>
      <c r="F29" t="s">
        <v>45</v>
      </c>
      <c r="G29" t="s">
        <v>55</v>
      </c>
    </row>
    <row r="30" spans="2:7" x14ac:dyDescent="0.25">
      <c r="B30" s="44">
        <v>6.24</v>
      </c>
      <c r="C30" s="40">
        <v>13.17</v>
      </c>
      <c r="D30" s="40" t="s">
        <v>24</v>
      </c>
      <c r="F30" t="s">
        <v>46</v>
      </c>
      <c r="G30" t="s">
        <v>57</v>
      </c>
    </row>
    <row r="31" spans="2:7" x14ac:dyDescent="0.25">
      <c r="B31" s="7">
        <f>B29</f>
        <v>8.6</v>
      </c>
      <c r="C31" s="8">
        <f>C30-ABS(C29-C30)</f>
        <v>8.6499999999999986</v>
      </c>
      <c r="D31" s="40" t="s">
        <v>24</v>
      </c>
      <c r="F31" t="s">
        <v>47</v>
      </c>
      <c r="G31" t="s">
        <v>58</v>
      </c>
    </row>
    <row r="32" spans="2:7" x14ac:dyDescent="0.25">
      <c r="B32" s="7">
        <f>44.47</f>
        <v>44.47</v>
      </c>
      <c r="C32" s="8">
        <v>18.05</v>
      </c>
      <c r="D32" s="40" t="s">
        <v>24</v>
      </c>
      <c r="F32" t="s">
        <v>48</v>
      </c>
      <c r="G32" t="s">
        <v>59</v>
      </c>
    </row>
    <row r="33" spans="2:7" x14ac:dyDescent="0.25">
      <c r="B33" s="7">
        <v>47.41</v>
      </c>
      <c r="C33" s="8">
        <v>13.85</v>
      </c>
      <c r="D33" s="40" t="s">
        <v>24</v>
      </c>
      <c r="F33" t="s">
        <v>49</v>
      </c>
      <c r="G33" t="s">
        <v>60</v>
      </c>
    </row>
    <row r="34" spans="2:7" x14ac:dyDescent="0.25">
      <c r="B34" s="42">
        <v>44.66</v>
      </c>
      <c r="C34" s="45">
        <v>9.18</v>
      </c>
      <c r="D34" s="43" t="s">
        <v>24</v>
      </c>
      <c r="F34" t="s">
        <v>50</v>
      </c>
      <c r="G34" t="s">
        <v>61</v>
      </c>
    </row>
    <row r="35" spans="2:7" x14ac:dyDescent="0.25">
      <c r="B35" s="41">
        <v>21</v>
      </c>
      <c r="C35" s="41">
        <v>18</v>
      </c>
      <c r="D35" s="41" t="s">
        <v>25</v>
      </c>
      <c r="F35" t="s">
        <v>45</v>
      </c>
      <c r="G35" t="s">
        <v>56</v>
      </c>
    </row>
    <row r="36" spans="2:7" x14ac:dyDescent="0.25">
      <c r="B36" s="8">
        <f>B30</f>
        <v>6.24</v>
      </c>
      <c r="C36" s="8">
        <f>C30</f>
        <v>13.17</v>
      </c>
      <c r="D36" s="40" t="s">
        <v>25</v>
      </c>
      <c r="F36" t="s">
        <v>46</v>
      </c>
      <c r="G36" t="s">
        <v>62</v>
      </c>
    </row>
    <row r="37" spans="2:7" x14ac:dyDescent="0.25">
      <c r="B37" s="8">
        <v>21</v>
      </c>
      <c r="C37" s="8">
        <v>9</v>
      </c>
      <c r="D37" s="40" t="s">
        <v>25</v>
      </c>
      <c r="F37" t="s">
        <v>47</v>
      </c>
      <c r="G37" t="s">
        <v>63</v>
      </c>
    </row>
    <row r="38" spans="2:7" x14ac:dyDescent="0.25">
      <c r="B38" s="8">
        <v>38</v>
      </c>
      <c r="C38" s="8">
        <v>15.5</v>
      </c>
      <c r="D38" s="40" t="s">
        <v>25</v>
      </c>
      <c r="F38" t="s">
        <v>48</v>
      </c>
      <c r="G38" t="s">
        <v>64</v>
      </c>
    </row>
    <row r="39" spans="2:7" x14ac:dyDescent="0.25">
      <c r="B39" s="8">
        <f>B33</f>
        <v>47.41</v>
      </c>
      <c r="C39" s="8">
        <f>C33</f>
        <v>13.85</v>
      </c>
      <c r="D39" s="40" t="s">
        <v>25</v>
      </c>
      <c r="F39" t="s">
        <v>49</v>
      </c>
      <c r="G39" t="s">
        <v>65</v>
      </c>
    </row>
    <row r="40" spans="2:7" x14ac:dyDescent="0.25">
      <c r="B40" s="45">
        <f>38</f>
        <v>38</v>
      </c>
      <c r="C40" s="45">
        <v>6.5</v>
      </c>
      <c r="D40" s="43" t="s">
        <v>25</v>
      </c>
      <c r="F40" t="s">
        <v>50</v>
      </c>
      <c r="G40" t="s">
        <v>66</v>
      </c>
    </row>
    <row r="44" spans="2:7" x14ac:dyDescent="0.25">
      <c r="B44" t="str">
        <f>_xlfn.CONCAT("Dim ",G25," As Coordinate ")</f>
        <v xml:space="preserve">Dim GearDispenser1Blue As Coordinate </v>
      </c>
    </row>
    <row r="45" spans="2:7" x14ac:dyDescent="0.25">
      <c r="B45" t="str">
        <f>_xlfn.CONCAT("Dim ",G26," As Coordinate ")</f>
        <v xml:space="preserve">Dim GearDispenser2Blue As Coordinate </v>
      </c>
    </row>
    <row r="46" spans="2:7" x14ac:dyDescent="0.25">
      <c r="B46" t="str">
        <f>_xlfn.CONCAT("Dim ",G27," As Coordinate ")</f>
        <v xml:space="preserve">Dim GearDispenser1Red As Coordinate </v>
      </c>
    </row>
    <row r="47" spans="2:7" x14ac:dyDescent="0.25">
      <c r="B47" t="str">
        <f>_xlfn.CONCAT("Dim ",G28," As Coordinate ")</f>
        <v xml:space="preserve">Dim GearDispenser2Red As Coordinate </v>
      </c>
    </row>
    <row r="48" spans="2:7" x14ac:dyDescent="0.25">
      <c r="B48" t="str">
        <f>_xlfn.CONCAT("Dim ",G29," As Coordinate ")</f>
        <v xml:space="preserve">Dim Peg1Red As Coordinate </v>
      </c>
    </row>
    <row r="49" spans="2:5" x14ac:dyDescent="0.25">
      <c r="B49" t="str">
        <f>_xlfn.CONCAT("Dim ",G30," As Coordinate ")</f>
        <v xml:space="preserve">Dim Peg2Red As Coordinate </v>
      </c>
    </row>
    <row r="50" spans="2:5" x14ac:dyDescent="0.25">
      <c r="B50" t="str">
        <f>_xlfn.CONCAT("Dim ",G31," As Coordinate ")</f>
        <v xml:space="preserve">Dim Peg3Red As Coordinate </v>
      </c>
    </row>
    <row r="51" spans="2:5" x14ac:dyDescent="0.25">
      <c r="B51" t="str">
        <f>_xlfn.CONCAT("Dim ",G32," As Coordinate ")</f>
        <v xml:space="preserve">Dim Peg1Blue As Coordinate </v>
      </c>
    </row>
    <row r="52" spans="2:5" x14ac:dyDescent="0.25">
      <c r="B52" t="str">
        <f>_xlfn.CONCAT("Dim ",G33," As Coordinate ")</f>
        <v xml:space="preserve">Dim Peg2Blue As Coordinate </v>
      </c>
    </row>
    <row r="53" spans="2:5" x14ac:dyDescent="0.25">
      <c r="B53" t="str">
        <f>_xlfn.CONCAT("Dim ",G34," As Coordinate ")</f>
        <v xml:space="preserve">Dim Peg3Blue As Coordinate </v>
      </c>
    </row>
    <row r="54" spans="2:5" x14ac:dyDescent="0.25">
      <c r="B54" t="str">
        <f>_xlfn.CONCAT("Dim ",G35," As Coordinate ")</f>
        <v xml:space="preserve">Dim Rope1Red As Coordinate </v>
      </c>
    </row>
    <row r="55" spans="2:5" x14ac:dyDescent="0.25">
      <c r="B55" t="str">
        <f>_xlfn.CONCAT("Dim ",G36," As Coordinate ")</f>
        <v xml:space="preserve">Dim Rope2Red As Coordinate </v>
      </c>
    </row>
    <row r="56" spans="2:5" x14ac:dyDescent="0.25">
      <c r="B56" t="str">
        <f>_xlfn.CONCAT("Dim ",G37," As Coordinate ")</f>
        <v xml:space="preserve">Dim Rope3Red As Coordinate </v>
      </c>
    </row>
    <row r="57" spans="2:5" x14ac:dyDescent="0.25">
      <c r="B57" t="str">
        <f>_xlfn.CONCAT("Dim ",G38," As Coordinate ")</f>
        <v xml:space="preserve">Dim Rope1Blue As Coordinate </v>
      </c>
    </row>
    <row r="58" spans="2:5" x14ac:dyDescent="0.25">
      <c r="B58" t="str">
        <f>_xlfn.CONCAT("Dim ",G39," As Coordinate ")</f>
        <v xml:space="preserve">Dim Rope2Blue As Coordinate </v>
      </c>
    </row>
    <row r="59" spans="2:5" x14ac:dyDescent="0.25">
      <c r="B59" t="str">
        <f>_xlfn.CONCAT("Dim ",G40," As Coordinate ")</f>
        <v xml:space="preserve">Dim Rope3Blue As Coordinate </v>
      </c>
    </row>
    <row r="61" spans="2:5" x14ac:dyDescent="0.25">
      <c r="B61" t="str">
        <f>_xlfn.CONCAT(G25,".x = ",B25)</f>
        <v>GearDispenser1Blue.x = 0.58</v>
      </c>
      <c r="E61" t="str">
        <f>_xlfn.CONCAT(G25,".y = ",C25)</f>
        <v>GearDispenser1Blue.y = 24.68</v>
      </c>
    </row>
    <row r="62" spans="2:5" x14ac:dyDescent="0.25">
      <c r="B62" t="str">
        <f t="shared" ref="B62:B78" si="0">_xlfn.CONCAT(G26,".x = ",B26)</f>
        <v>GearDispenser2Blue.x = 3.66</v>
      </c>
      <c r="E62" t="str">
        <f t="shared" ref="E62:E78" si="1">_xlfn.CONCAT(G26,".y = ",C26)</f>
        <v>GearDispenser2Blue.y = 26.58</v>
      </c>
    </row>
    <row r="63" spans="2:5" x14ac:dyDescent="0.25">
      <c r="B63" t="str">
        <f t="shared" si="0"/>
        <v>GearDispenser1Red.x = 50.98</v>
      </c>
      <c r="E63" t="str">
        <f t="shared" si="1"/>
        <v>GearDispenser1Red.y = 26.67</v>
      </c>
    </row>
    <row r="64" spans="2:5" x14ac:dyDescent="0.25">
      <c r="B64" t="str">
        <f t="shared" si="0"/>
        <v>GearDispenser2Red.x = 52.74</v>
      </c>
      <c r="E64" t="str">
        <f t="shared" si="1"/>
        <v>GearDispenser2Red.y = 22.99</v>
      </c>
    </row>
    <row r="65" spans="2:5" x14ac:dyDescent="0.25">
      <c r="B65" t="str">
        <f t="shared" si="0"/>
        <v>Peg1Red.x = 8.6</v>
      </c>
      <c r="E65" t="str">
        <f t="shared" si="1"/>
        <v>Peg1Red.y = 17.69</v>
      </c>
    </row>
    <row r="66" spans="2:5" x14ac:dyDescent="0.25">
      <c r="B66" t="str">
        <f t="shared" si="0"/>
        <v>Peg2Red.x = 6.24</v>
      </c>
      <c r="E66" t="str">
        <f t="shared" si="1"/>
        <v>Peg2Red.y = 13.17</v>
      </c>
    </row>
    <row r="67" spans="2:5" x14ac:dyDescent="0.25">
      <c r="B67" t="str">
        <f t="shared" si="0"/>
        <v>Peg3Red.x = 8.6</v>
      </c>
      <c r="E67" t="str">
        <f t="shared" si="1"/>
        <v>Peg3Red.y = 8.65</v>
      </c>
    </row>
    <row r="68" spans="2:5" x14ac:dyDescent="0.25">
      <c r="B68" t="str">
        <f t="shared" si="0"/>
        <v>Peg1Blue.x = 44.47</v>
      </c>
      <c r="E68" t="str">
        <f t="shared" si="1"/>
        <v>Peg1Blue.y = 18.05</v>
      </c>
    </row>
    <row r="69" spans="2:5" x14ac:dyDescent="0.25">
      <c r="B69" t="str">
        <f t="shared" si="0"/>
        <v>Peg2Blue.x = 47.41</v>
      </c>
      <c r="E69" t="str">
        <f t="shared" si="1"/>
        <v>Peg2Blue.y = 13.85</v>
      </c>
    </row>
    <row r="70" spans="2:5" x14ac:dyDescent="0.25">
      <c r="B70" t="str">
        <f t="shared" si="0"/>
        <v>Peg3Blue.x = 44.66</v>
      </c>
      <c r="E70" t="str">
        <f t="shared" si="1"/>
        <v>Peg3Blue.y = 9.18</v>
      </c>
    </row>
    <row r="71" spans="2:5" x14ac:dyDescent="0.25">
      <c r="B71" t="str">
        <f t="shared" si="0"/>
        <v>Rope1Red.x = 21</v>
      </c>
      <c r="E71" t="str">
        <f t="shared" si="1"/>
        <v>Rope1Red.y = 18</v>
      </c>
    </row>
    <row r="72" spans="2:5" x14ac:dyDescent="0.25">
      <c r="B72" t="str">
        <f t="shared" si="0"/>
        <v>Rope2Red.x = 6.24</v>
      </c>
      <c r="E72" t="str">
        <f t="shared" si="1"/>
        <v>Rope2Red.y = 13.17</v>
      </c>
    </row>
    <row r="73" spans="2:5" x14ac:dyDescent="0.25">
      <c r="B73" t="str">
        <f t="shared" si="0"/>
        <v>Rope3Red.x = 21</v>
      </c>
      <c r="E73" t="str">
        <f t="shared" si="1"/>
        <v>Rope3Red.y = 9</v>
      </c>
    </row>
    <row r="74" spans="2:5" x14ac:dyDescent="0.25">
      <c r="B74" t="str">
        <f t="shared" si="0"/>
        <v>Rope1Blue.x = 38</v>
      </c>
      <c r="E74" t="str">
        <f t="shared" si="1"/>
        <v>Rope1Blue.y = 15.5</v>
      </c>
    </row>
    <row r="75" spans="2:5" x14ac:dyDescent="0.25">
      <c r="B75" t="str">
        <f t="shared" si="0"/>
        <v>Rope2Blue.x = 47.41</v>
      </c>
      <c r="E75" t="str">
        <f t="shared" si="1"/>
        <v>Rope2Blue.y = 13.85</v>
      </c>
    </row>
    <row r="76" spans="2:5" x14ac:dyDescent="0.25">
      <c r="B76" t="str">
        <f t="shared" si="0"/>
        <v>Rope3Blue.x = 38</v>
      </c>
      <c r="E76" t="str">
        <f t="shared" si="1"/>
        <v>Rope3Blue.y = 6.5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Field</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DataZ CSV Analyzer</dc:title>
  <dc:subject>DataZ data analysis</dc:subject>
  <dc:creator/>
  <cp:keywords>DataZ CSV</cp:keywords>
  <cp:lastModifiedBy/>
  <dcterms:created xsi:type="dcterms:W3CDTF">2015-06-05T18:17:20Z</dcterms:created>
  <dcterms:modified xsi:type="dcterms:W3CDTF">2017-12-10T00:16:53Z</dcterms:modified>
</cp:coreProperties>
</file>